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gomery_Fleet_Equipment_Inve" sheetId="1" r:id="rId4"/>
    <sheet state="visible" name="Pivot Table 1" sheetId="2" r:id="rId5"/>
    <sheet state="visible" name="Pivot Table 2" sheetId="3" r:id="rId6"/>
    <sheet state="visible" name="Pivot Table 3" sheetId="4" r:id="rId7"/>
  </sheets>
  <definedNames/>
  <calcPr/>
  <extLst>
    <ext uri="GoogleSheetsCustomDataVersion2">
      <go:sheetsCustomData xmlns:go="http://customooxmlschemas.google.com/" r:id="rId8" roundtripDataChecksum="7H0JzktVn3CIPx7mhsF+FZTXXrZhOuPy4mQ5jke76io="/>
    </ext>
  </extLst>
</workbook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<sst xmlns="http://schemas.openxmlformats.org/spreadsheetml/2006/main" count="165" uniqueCount="37">
  <si>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</si>
  <si>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</si>
  <si>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</si>
  <si>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</si>
  <si>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</si>
  <si>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</si>
  <si>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</si>
  <si>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</si>
  <si>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</si>
  <si>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</si>
  <si>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</si>
  <si>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</si>
  <si>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</si>
  <si>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</si>
  <si>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</si>
  <si>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</si>
  <si>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</si>
  <si>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</si>
  <si>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</si>
  <si>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</si>
  <si>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</si>
  <si>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</si>
  <si>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</si>
  <si>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</si>
  <si>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</si>
  <si>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</si>
  <si>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</si>
  <si>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</si>
  <si>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</si>
  <si>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</si>
  <si>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</si>
  <si>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</si>
  <si>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</si>
  <si>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</si>
  <si>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Row Labels</t>
  </si>
  <si>
    <t>Sum of Equipment 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</si>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</sst>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1">
    <tableStyle count="3" pivot="0" name="Montgomery_Fleet_Equipment_Inve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50" displayName="Table_1" name="Table_1" id="1">
  <tableColumns count="3">
    <tableColumn name="Department" id="1"/>
    <tableColumn name="Equipment Class" id="2"/>
    <tableColumn name="Equipment Count" id="3"/>
  </tableColumns>
  <tableStyleInfo name="Montgomery_Fleet_Equipment_In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6.14"/>
    <col customWidth="1" min="3" max="3" width="18.14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>
        <v>21.0</v>
      </c>
    </row>
    <row r="3" ht="14.25" customHeight="1">
      <c r="A3" s="1" t="s">
        <v>3</v>
      </c>
      <c r="B3" s="1" t="s">
        <v>5</v>
      </c>
      <c r="C3" s="1">
        <v>1.0</v>
      </c>
    </row>
    <row r="4" ht="14.25" customHeight="1">
      <c r="A4" s="1" t="s">
        <v>3</v>
      </c>
      <c r="B4" s="1" t="s">
        <v>6</v>
      </c>
      <c r="C4" s="1">
        <v>23.0</v>
      </c>
    </row>
    <row r="5" ht="14.25" customHeight="1">
      <c r="A5" s="1" t="s">
        <v>7</v>
      </c>
      <c r="B5" s="1" t="s">
        <v>6</v>
      </c>
      <c r="C5" s="1">
        <v>2.0</v>
      </c>
    </row>
    <row r="6" ht="14.25" customHeight="1">
      <c r="A6" s="1" t="s">
        <v>8</v>
      </c>
      <c r="B6" s="1" t="s">
        <v>4</v>
      </c>
      <c r="C6" s="1">
        <v>3.0</v>
      </c>
    </row>
    <row r="7" ht="14.25" customHeight="1">
      <c r="A7" s="1" t="s">
        <v>8</v>
      </c>
      <c r="B7" s="1" t="s">
        <v>9</v>
      </c>
      <c r="C7" s="1">
        <v>2.0</v>
      </c>
    </row>
    <row r="8" ht="14.25" customHeight="1">
      <c r="A8" s="1" t="s">
        <v>8</v>
      </c>
      <c r="B8" s="1" t="s">
        <v>10</v>
      </c>
      <c r="C8" s="1">
        <v>1.0</v>
      </c>
    </row>
    <row r="9" ht="14.25" customHeight="1">
      <c r="A9" s="1" t="s">
        <v>11</v>
      </c>
      <c r="B9" s="1" t="s">
        <v>9</v>
      </c>
      <c r="C9" s="1">
        <v>2.0</v>
      </c>
    </row>
    <row r="10" ht="14.25" customHeight="1">
      <c r="A10" s="1" t="s">
        <v>11</v>
      </c>
      <c r="B10" s="1" t="s">
        <v>12</v>
      </c>
      <c r="C10" s="1">
        <v>42.0</v>
      </c>
    </row>
    <row r="11" ht="14.25" customHeight="1">
      <c r="A11" s="1" t="s">
        <v>11</v>
      </c>
      <c r="B11" s="1" t="s">
        <v>5</v>
      </c>
      <c r="C11" s="1">
        <v>1.0</v>
      </c>
    </row>
    <row r="12" ht="14.25" customHeight="1">
      <c r="A12" s="1" t="s">
        <v>11</v>
      </c>
      <c r="B12" s="1" t="s">
        <v>6</v>
      </c>
      <c r="C12" s="1">
        <v>11.0</v>
      </c>
    </row>
    <row r="13" ht="14.25" customHeight="1">
      <c r="A13" s="1" t="s">
        <v>13</v>
      </c>
      <c r="B13" s="1" t="s">
        <v>5</v>
      </c>
      <c r="C13" s="1">
        <v>1.0</v>
      </c>
    </row>
    <row r="14" ht="14.25" customHeight="1">
      <c r="A14" s="1" t="s">
        <v>14</v>
      </c>
      <c r="B14" s="1" t="s">
        <v>15</v>
      </c>
      <c r="C14" s="1">
        <v>9.0</v>
      </c>
    </row>
    <row r="15" ht="14.25" customHeight="1">
      <c r="A15" s="1" t="s">
        <v>14</v>
      </c>
      <c r="B15" s="1" t="s">
        <v>5</v>
      </c>
      <c r="C15" s="1">
        <v>27.0</v>
      </c>
    </row>
    <row r="16" ht="14.25" customHeight="1">
      <c r="A16" s="1" t="s">
        <v>14</v>
      </c>
      <c r="B16" s="1" t="s">
        <v>4</v>
      </c>
      <c r="C16" s="1">
        <v>24.0</v>
      </c>
    </row>
    <row r="17" ht="14.25" customHeight="1">
      <c r="A17" s="1" t="s">
        <v>14</v>
      </c>
      <c r="B17" s="1" t="s">
        <v>9</v>
      </c>
      <c r="C17" s="1">
        <v>1.0</v>
      </c>
    </row>
    <row r="18" ht="14.25" customHeight="1">
      <c r="A18" s="1" t="s">
        <v>14</v>
      </c>
      <c r="B18" s="1" t="s">
        <v>6</v>
      </c>
      <c r="C18" s="1">
        <v>48.0</v>
      </c>
    </row>
    <row r="19" ht="14.25" customHeight="1">
      <c r="A19" s="1" t="s">
        <v>16</v>
      </c>
      <c r="B19" s="1" t="s">
        <v>9</v>
      </c>
      <c r="C19" s="1">
        <v>1.0</v>
      </c>
    </row>
    <row r="20" ht="14.25" customHeight="1">
      <c r="A20" s="1" t="s">
        <v>17</v>
      </c>
      <c r="B20" s="1" t="s">
        <v>6</v>
      </c>
      <c r="C20" s="1">
        <v>6.0</v>
      </c>
    </row>
    <row r="21" ht="14.25" customHeight="1">
      <c r="A21" s="1" t="s">
        <v>17</v>
      </c>
      <c r="B21" s="1" t="s">
        <v>4</v>
      </c>
      <c r="C21" s="1">
        <v>5.0</v>
      </c>
    </row>
    <row r="22" ht="14.25" customHeight="1">
      <c r="A22" s="1" t="s">
        <v>17</v>
      </c>
      <c r="B22" s="1" t="s">
        <v>5</v>
      </c>
      <c r="C22" s="1">
        <v>2.0</v>
      </c>
    </row>
    <row r="23" ht="14.25" customHeight="1">
      <c r="A23" s="1" t="s">
        <v>17</v>
      </c>
      <c r="B23" s="1" t="s">
        <v>9</v>
      </c>
      <c r="C23" s="1">
        <v>15.0</v>
      </c>
    </row>
    <row r="24" ht="14.25" customHeight="1">
      <c r="A24" s="1" t="s">
        <v>17</v>
      </c>
      <c r="B24" s="1" t="s">
        <v>18</v>
      </c>
      <c r="C24" s="1">
        <v>7.0</v>
      </c>
    </row>
    <row r="25" ht="14.25" customHeight="1">
      <c r="A25" s="1" t="s">
        <v>19</v>
      </c>
      <c r="B25" s="1" t="s">
        <v>20</v>
      </c>
      <c r="C25" s="1">
        <v>20.0</v>
      </c>
    </row>
    <row r="26" ht="14.25" customHeight="1">
      <c r="A26" s="1" t="s">
        <v>19</v>
      </c>
      <c r="B26" s="1" t="s">
        <v>6</v>
      </c>
      <c r="C26" s="1">
        <v>1.0</v>
      </c>
    </row>
    <row r="27" ht="14.25" customHeight="1">
      <c r="A27" s="1" t="s">
        <v>19</v>
      </c>
      <c r="B27" s="1" t="s">
        <v>10</v>
      </c>
      <c r="C27" s="1">
        <v>1.0</v>
      </c>
    </row>
    <row r="28" ht="14.25" customHeight="1">
      <c r="A28" s="1" t="s">
        <v>19</v>
      </c>
      <c r="B28" s="1" t="s">
        <v>4</v>
      </c>
      <c r="C28" s="1">
        <v>3.0</v>
      </c>
    </row>
    <row r="29" ht="14.25" customHeight="1">
      <c r="A29" s="1" t="s">
        <v>19</v>
      </c>
      <c r="B29" s="1" t="s">
        <v>5</v>
      </c>
      <c r="C29" s="1">
        <v>1.0</v>
      </c>
    </row>
    <row r="30" ht="14.25" customHeight="1">
      <c r="A30" s="1" t="s">
        <v>19</v>
      </c>
      <c r="B30" s="1" t="s">
        <v>21</v>
      </c>
      <c r="C30" s="1">
        <v>8.0</v>
      </c>
    </row>
    <row r="31" ht="14.25" customHeight="1">
      <c r="A31" s="1" t="s">
        <v>19</v>
      </c>
      <c r="B31" s="1" t="s">
        <v>22</v>
      </c>
      <c r="C31" s="1">
        <v>4.0</v>
      </c>
    </row>
    <row r="32" ht="14.25" customHeight="1">
      <c r="A32" s="1" t="s">
        <v>19</v>
      </c>
      <c r="B32" s="1" t="s">
        <v>23</v>
      </c>
      <c r="C32" s="1">
        <v>46.0</v>
      </c>
    </row>
    <row r="33" ht="14.25" customHeight="1">
      <c r="A33" s="1" t="s">
        <v>19</v>
      </c>
      <c r="B33" s="1" t="s">
        <v>24</v>
      </c>
      <c r="C33" s="1">
        <v>1.0</v>
      </c>
    </row>
    <row r="34" ht="14.25" customHeight="1">
      <c r="A34" s="1" t="s">
        <v>25</v>
      </c>
      <c r="B34" s="1" t="s">
        <v>23</v>
      </c>
      <c r="C34" s="1">
        <v>1.0</v>
      </c>
    </row>
    <row r="35" ht="14.25" customHeight="1">
      <c r="A35" s="1" t="s">
        <v>25</v>
      </c>
      <c r="B35" s="1" t="s">
        <v>9</v>
      </c>
      <c r="C35" s="1">
        <v>1.0</v>
      </c>
    </row>
    <row r="36" ht="14.25" customHeight="1">
      <c r="A36" s="1" t="s">
        <v>25</v>
      </c>
      <c r="B36" s="1" t="s">
        <v>5</v>
      </c>
      <c r="C36" s="1">
        <v>1.0</v>
      </c>
    </row>
    <row r="37" ht="14.25" customHeight="1">
      <c r="A37" s="1" t="s">
        <v>25</v>
      </c>
      <c r="B37" s="1" t="s">
        <v>6</v>
      </c>
      <c r="C37" s="1">
        <v>2.0</v>
      </c>
    </row>
    <row r="38" ht="14.25" customHeight="1">
      <c r="A38" s="1" t="s">
        <v>26</v>
      </c>
      <c r="B38" s="1" t="s">
        <v>4</v>
      </c>
      <c r="C38" s="1">
        <v>1.0</v>
      </c>
    </row>
    <row r="39" ht="14.25" customHeight="1">
      <c r="A39" s="1" t="s">
        <v>26</v>
      </c>
      <c r="B39" s="1" t="s">
        <v>15</v>
      </c>
      <c r="C39" s="1">
        <v>1.0</v>
      </c>
    </row>
    <row r="40" ht="14.25" customHeight="1">
      <c r="A40" s="1" t="s">
        <v>26</v>
      </c>
      <c r="B40" s="1" t="s">
        <v>9</v>
      </c>
      <c r="C40" s="1">
        <v>11.0</v>
      </c>
    </row>
    <row r="41" ht="14.25" customHeight="1">
      <c r="A41" s="1" t="s">
        <v>26</v>
      </c>
      <c r="B41" s="1" t="s">
        <v>5</v>
      </c>
      <c r="C41" s="1">
        <v>3.0</v>
      </c>
    </row>
    <row r="42" ht="14.25" customHeight="1">
      <c r="A42" s="1" t="s">
        <v>27</v>
      </c>
      <c r="B42" s="1" t="s">
        <v>4</v>
      </c>
      <c r="C42" s="1">
        <v>93.0</v>
      </c>
    </row>
    <row r="43" ht="14.25" customHeight="1">
      <c r="A43" s="1" t="s">
        <v>27</v>
      </c>
      <c r="B43" s="1" t="s">
        <v>12</v>
      </c>
      <c r="C43" s="1">
        <v>248.0</v>
      </c>
    </row>
    <row r="44" ht="14.25" customHeight="1">
      <c r="A44" s="1" t="s">
        <v>27</v>
      </c>
      <c r="B44" s="1" t="s">
        <v>28</v>
      </c>
      <c r="C44" s="1">
        <v>379.0</v>
      </c>
    </row>
    <row r="45" ht="14.25" customHeight="1">
      <c r="A45" s="1" t="s">
        <v>27</v>
      </c>
      <c r="B45" s="1" t="s">
        <v>5</v>
      </c>
      <c r="C45" s="1">
        <v>53.0</v>
      </c>
    </row>
    <row r="46" ht="14.25" customHeight="1">
      <c r="A46" s="1" t="s">
        <v>27</v>
      </c>
      <c r="B46" s="1" t="s">
        <v>9</v>
      </c>
      <c r="C46" s="1">
        <v>32.0</v>
      </c>
    </row>
    <row r="47" ht="14.25" customHeight="1">
      <c r="A47" s="1" t="s">
        <v>27</v>
      </c>
      <c r="B47" s="1" t="s">
        <v>10</v>
      </c>
      <c r="C47" s="1">
        <v>98.0</v>
      </c>
    </row>
    <row r="48" ht="14.25" customHeight="1">
      <c r="A48" s="1" t="s">
        <v>27</v>
      </c>
      <c r="B48" s="1" t="s">
        <v>18</v>
      </c>
      <c r="C48" s="1">
        <v>276.0</v>
      </c>
    </row>
    <row r="49" ht="14.25" customHeight="1">
      <c r="A49" s="1" t="s">
        <v>27</v>
      </c>
      <c r="B49" s="1" t="s">
        <v>15</v>
      </c>
      <c r="C49" s="1">
        <v>5.0</v>
      </c>
    </row>
    <row r="50" ht="14.25" customHeight="1">
      <c r="A50" s="1" t="s">
        <v>27</v>
      </c>
      <c r="B50" s="1" t="s">
        <v>6</v>
      </c>
      <c r="C50" s="1">
        <v>37.0</v>
      </c>
    </row>
    <row r="51" ht="14.25" customHeight="1"/>
    <row r="52" ht="14.25" customHeight="1">
      <c r="B52" s="2" t="s">
        <v>29</v>
      </c>
      <c r="C52" s="2">
        <f>SUM(Montgomery_Fleet_Equipment_Inve!$C$2:$C$50)</f>
        <v>1582</v>
      </c>
    </row>
    <row r="53" ht="14.25" customHeight="1">
      <c r="B53" s="2" t="s">
        <v>30</v>
      </c>
      <c r="C53" s="2">
        <f>AVERAGE(Montgomery_Fleet_Equipment_Inve!$C$2:$C$50)</f>
        <v>32.28571429</v>
      </c>
    </row>
    <row r="54" ht="14.25" customHeight="1">
      <c r="B54" s="2" t="s">
        <v>31</v>
      </c>
      <c r="C54" s="2">
        <f>MIN(C2:C50)</f>
        <v>1</v>
      </c>
    </row>
    <row r="55" ht="14.25" customHeight="1">
      <c r="B55" s="2" t="s">
        <v>32</v>
      </c>
      <c r="C55" s="2">
        <f>MAX(C2:C50)</f>
        <v>379</v>
      </c>
    </row>
    <row r="56" ht="14.25" customHeight="1">
      <c r="B56" s="2" t="s">
        <v>33</v>
      </c>
      <c r="C56" s="2">
        <f>COUNT(C2:C50)</f>
        <v>49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57"/>
    <col customWidth="1" min="3" max="26" width="8.71"/>
  </cols>
  <sheetData>
    <row r="1" ht="14.25" customHeight="1"/>
    <row r="2" ht="14.25" customHeight="1"/>
    <row r="3" ht="14.25" customHeight="1">
      <c r="A3" s="3" t="s">
        <v>34</v>
      </c>
      <c r="B3" s="2" t="s">
        <v>35</v>
      </c>
    </row>
    <row r="4" ht="14.25" customHeight="1">
      <c r="A4" s="4" t="s">
        <v>27</v>
      </c>
      <c r="B4" s="3">
        <v>1221.0</v>
      </c>
    </row>
    <row r="5" ht="14.25" customHeight="1">
      <c r="A5" s="4" t="s">
        <v>14</v>
      </c>
      <c r="B5" s="3">
        <v>109.0</v>
      </c>
    </row>
    <row r="6" ht="14.25" customHeight="1">
      <c r="A6" s="4" t="s">
        <v>19</v>
      </c>
      <c r="B6" s="3">
        <v>85.0</v>
      </c>
    </row>
    <row r="7" ht="14.25" customHeight="1">
      <c r="A7" s="4" t="s">
        <v>11</v>
      </c>
      <c r="B7" s="3">
        <v>56.0</v>
      </c>
    </row>
    <row r="8" ht="14.25" customHeight="1">
      <c r="A8" s="4" t="s">
        <v>3</v>
      </c>
      <c r="B8" s="3">
        <v>45.0</v>
      </c>
    </row>
    <row r="9" ht="14.25" customHeight="1">
      <c r="A9" s="4" t="s">
        <v>17</v>
      </c>
      <c r="B9" s="3">
        <v>35.0</v>
      </c>
    </row>
    <row r="10" ht="14.25" customHeight="1">
      <c r="A10" s="4" t="s">
        <v>26</v>
      </c>
      <c r="B10" s="3">
        <v>16.0</v>
      </c>
    </row>
    <row r="11" ht="14.25" customHeight="1">
      <c r="A11" s="4" t="s">
        <v>8</v>
      </c>
      <c r="B11" s="3">
        <v>6.0</v>
      </c>
    </row>
    <row r="12" ht="14.25" customHeight="1">
      <c r="A12" s="4" t="s">
        <v>25</v>
      </c>
      <c r="B12" s="3">
        <v>5.0</v>
      </c>
    </row>
    <row r="13" ht="14.25" customHeight="1">
      <c r="A13" s="4" t="s">
        <v>7</v>
      </c>
      <c r="B13" s="3">
        <v>2.0</v>
      </c>
    </row>
    <row r="14" ht="14.25" customHeight="1">
      <c r="A14" s="4" t="s">
        <v>13</v>
      </c>
      <c r="B14" s="3">
        <v>1.0</v>
      </c>
    </row>
    <row r="15" ht="14.25" customHeight="1">
      <c r="A15" s="4" t="s">
        <v>16</v>
      </c>
      <c r="B15" s="3">
        <v>1.0</v>
      </c>
    </row>
    <row r="16" ht="14.25" customHeight="1">
      <c r="A16" s="4" t="s">
        <v>36</v>
      </c>
      <c r="B16" s="3">
        <v>1582.0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2.57"/>
    <col customWidth="1" min="3" max="26" width="8.71"/>
  </cols>
  <sheetData>
    <row r="1" ht="14.25" customHeight="1"/>
    <row r="2" ht="14.25" customHeight="1"/>
    <row r="3" ht="14.25" customHeight="1">
      <c r="A3" s="3" t="s">
        <v>34</v>
      </c>
      <c r="B3" s="2" t="s">
        <v>35</v>
      </c>
    </row>
    <row r="4" ht="14.25" customHeight="1">
      <c r="A4" s="4" t="s">
        <v>27</v>
      </c>
      <c r="B4" s="3">
        <v>1221.0</v>
      </c>
    </row>
    <row r="5" ht="14.25" customHeight="1">
      <c r="A5" s="4" t="s">
        <v>15</v>
      </c>
      <c r="B5" s="3">
        <v>5.0</v>
      </c>
    </row>
    <row r="6" ht="14.25" customHeight="1">
      <c r="A6" s="4" t="s">
        <v>12</v>
      </c>
      <c r="B6" s="3">
        <v>248.0</v>
      </c>
    </row>
    <row r="7" ht="14.25" customHeight="1">
      <c r="A7" s="4" t="s">
        <v>10</v>
      </c>
      <c r="B7" s="3">
        <v>98.0</v>
      </c>
    </row>
    <row r="8" ht="14.25" customHeight="1">
      <c r="A8" s="4" t="s">
        <v>18</v>
      </c>
      <c r="B8" s="3">
        <v>276.0</v>
      </c>
    </row>
    <row r="9" ht="14.25" customHeight="1">
      <c r="A9" s="4" t="s">
        <v>4</v>
      </c>
      <c r="B9" s="3">
        <v>93.0</v>
      </c>
    </row>
    <row r="10" ht="14.25" customHeight="1">
      <c r="A10" s="4" t="s">
        <v>6</v>
      </c>
      <c r="B10" s="3">
        <v>37.0</v>
      </c>
    </row>
    <row r="11" ht="14.25" customHeight="1">
      <c r="A11" s="4" t="s">
        <v>5</v>
      </c>
      <c r="B11" s="3">
        <v>53.0</v>
      </c>
    </row>
    <row r="12" ht="14.25" customHeight="1">
      <c r="A12" s="4" t="s">
        <v>28</v>
      </c>
      <c r="B12" s="3">
        <v>379.0</v>
      </c>
    </row>
    <row r="13" ht="14.25" customHeight="1">
      <c r="A13" s="4" t="s">
        <v>9</v>
      </c>
      <c r="B13" s="3">
        <v>32.0</v>
      </c>
    </row>
    <row r="14" ht="14.25" customHeight="1">
      <c r="A14" s="4" t="s">
        <v>14</v>
      </c>
      <c r="B14" s="3">
        <v>109.0</v>
      </c>
    </row>
    <row r="15" ht="14.25" customHeight="1">
      <c r="A15" s="4" t="s">
        <v>19</v>
      </c>
      <c r="B15" s="3">
        <v>85.0</v>
      </c>
    </row>
    <row r="16" ht="14.25" customHeight="1">
      <c r="A16" s="4" t="s">
        <v>11</v>
      </c>
      <c r="B16" s="3">
        <v>56.0</v>
      </c>
    </row>
    <row r="17" ht="14.25" customHeight="1">
      <c r="A17" s="4" t="s">
        <v>3</v>
      </c>
      <c r="B17" s="3">
        <v>45.0</v>
      </c>
    </row>
    <row r="18" ht="14.25" customHeight="1">
      <c r="A18" s="4" t="s">
        <v>17</v>
      </c>
      <c r="B18" s="3">
        <v>35.0</v>
      </c>
    </row>
    <row r="19" ht="14.25" customHeight="1">
      <c r="A19" s="4" t="s">
        <v>26</v>
      </c>
      <c r="B19" s="3">
        <v>16.0</v>
      </c>
    </row>
    <row r="20" ht="14.25" customHeight="1">
      <c r="A20" s="4" t="s">
        <v>8</v>
      </c>
      <c r="B20" s="3">
        <v>6.0</v>
      </c>
    </row>
    <row r="21" ht="14.25" customHeight="1">
      <c r="A21" s="4" t="s">
        <v>25</v>
      </c>
      <c r="B21" s="3">
        <v>5.0</v>
      </c>
    </row>
    <row r="22" ht="14.25" customHeight="1">
      <c r="A22" s="4" t="s">
        <v>7</v>
      </c>
      <c r="B22" s="3">
        <v>2.0</v>
      </c>
    </row>
    <row r="23" ht="14.25" customHeight="1">
      <c r="A23" s="4" t="s">
        <v>13</v>
      </c>
      <c r="B23" s="3">
        <v>1.0</v>
      </c>
    </row>
    <row r="24" ht="14.25" customHeight="1">
      <c r="A24" s="4" t="s">
        <v>16</v>
      </c>
      <c r="B24" s="3">
        <v>1.0</v>
      </c>
    </row>
    <row r="25" ht="14.25" customHeight="1">
      <c r="A25" s="4" t="s">
        <v>36</v>
      </c>
      <c r="B25" s="3">
        <v>1582.0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2.57"/>
    <col customWidth="1" min="3" max="26" width="8.71"/>
  </cols>
  <sheetData>
    <row r="1" ht="14.25" customHeight="1"/>
    <row r="2" ht="14.25" customHeight="1"/>
    <row r="3" ht="14.25" customHeight="1">
      <c r="A3" s="3" t="s">
        <v>34</v>
      </c>
      <c r="B3" s="2" t="s">
        <v>35</v>
      </c>
    </row>
    <row r="4" ht="14.25" customHeight="1">
      <c r="A4" s="4" t="s">
        <v>15</v>
      </c>
      <c r="B4" s="3">
        <v>15.0</v>
      </c>
    </row>
    <row r="5" ht="14.25" customHeight="1">
      <c r="A5" s="4" t="s">
        <v>14</v>
      </c>
      <c r="B5" s="3">
        <v>9.0</v>
      </c>
    </row>
    <row r="6" ht="14.25" customHeight="1">
      <c r="A6" s="4" t="s">
        <v>27</v>
      </c>
      <c r="B6" s="3">
        <v>5.0</v>
      </c>
    </row>
    <row r="7" ht="14.25" customHeight="1">
      <c r="A7" s="4" t="s">
        <v>26</v>
      </c>
      <c r="B7" s="3">
        <v>1.0</v>
      </c>
    </row>
    <row r="8" ht="14.25" customHeight="1">
      <c r="A8" s="4" t="s">
        <v>12</v>
      </c>
      <c r="B8" s="3">
        <v>290.0</v>
      </c>
    </row>
    <row r="9" ht="14.25" customHeight="1">
      <c r="A9" s="4" t="s">
        <v>10</v>
      </c>
      <c r="B9" s="3">
        <v>100.0</v>
      </c>
    </row>
    <row r="10" ht="14.25" customHeight="1">
      <c r="A10" s="4" t="s">
        <v>18</v>
      </c>
      <c r="B10" s="3">
        <v>283.0</v>
      </c>
    </row>
    <row r="11" ht="14.25" customHeight="1">
      <c r="A11" s="4" t="s">
        <v>4</v>
      </c>
      <c r="B11" s="3">
        <v>150.0</v>
      </c>
    </row>
    <row r="12" ht="14.25" customHeight="1">
      <c r="A12" s="4" t="s">
        <v>22</v>
      </c>
      <c r="B12" s="3">
        <v>4.0</v>
      </c>
    </row>
    <row r="13" ht="14.25" customHeight="1">
      <c r="A13" s="4" t="s">
        <v>24</v>
      </c>
      <c r="B13" s="3">
        <v>1.0</v>
      </c>
    </row>
    <row r="14" ht="14.25" customHeight="1">
      <c r="A14" s="4" t="s">
        <v>23</v>
      </c>
      <c r="B14" s="3">
        <v>47.0</v>
      </c>
    </row>
    <row r="15" ht="14.25" customHeight="1">
      <c r="A15" s="4" t="s">
        <v>20</v>
      </c>
      <c r="B15" s="3">
        <v>20.0</v>
      </c>
    </row>
    <row r="16" ht="14.25" customHeight="1">
      <c r="A16" s="4" t="s">
        <v>21</v>
      </c>
      <c r="B16" s="3">
        <v>8.0</v>
      </c>
    </row>
    <row r="17" ht="14.25" customHeight="1">
      <c r="A17" s="4" t="s">
        <v>6</v>
      </c>
      <c r="B17" s="3">
        <v>130.0</v>
      </c>
    </row>
    <row r="18" ht="14.25" customHeight="1">
      <c r="A18" s="4" t="s">
        <v>5</v>
      </c>
      <c r="B18" s="3">
        <v>90.0</v>
      </c>
    </row>
    <row r="19" ht="14.25" customHeight="1">
      <c r="A19" s="4" t="s">
        <v>28</v>
      </c>
      <c r="B19" s="3">
        <v>379.0</v>
      </c>
    </row>
    <row r="20" ht="14.25" customHeight="1">
      <c r="A20" s="4" t="s">
        <v>9</v>
      </c>
      <c r="B20" s="3">
        <v>65.0</v>
      </c>
    </row>
    <row r="21" ht="14.25" customHeight="1">
      <c r="A21" s="4" t="s">
        <v>36</v>
      </c>
      <c r="B21" s="3">
        <v>1582.0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